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717bdbb5d8952ed/Desktop/"/>
    </mc:Choice>
  </mc:AlternateContent>
  <xr:revisionPtr revIDLastSave="68" documentId="8_{56E79B7A-D42A-489D-8B41-2AC407688959}" xr6:coauthVersionLast="47" xr6:coauthVersionMax="47" xr10:uidLastSave="{89278C3F-40F2-4F0D-B6EA-F7349C68AEB7}"/>
  <bookViews>
    <workbookView xWindow="-108" yWindow="-108" windowWidth="23256" windowHeight="13896" xr2:uid="{00000000-000D-0000-FFFF-FFFF00000000}"/>
  </bookViews>
  <sheets>
    <sheet name="Utility Research" sheetId="1" r:id="rId1"/>
    <sheet name="MSEDCL Analysis" sheetId="2" r:id="rId2"/>
    <sheet name="Methodology" sheetId="4" r:id="rId3"/>
    <sheet name="Comparison" sheetId="5" r:id="rId4"/>
    <sheet name="Findings" sheetId="6" r:id="rId5"/>
  </sheets>
  <definedNames>
    <definedName name="_xlnm._FilterDatabase" localSheetId="3" hidden="1">Comparison!$A$1:$N$6</definedName>
    <definedName name="_xlnm._FilterDatabase" localSheetId="0" hidden="1">'Utility Research'!$A$1:$Y$6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5" l="1"/>
  <c r="M6" i="5"/>
  <c r="L6" i="5"/>
  <c r="N5" i="5"/>
  <c r="M5" i="5"/>
  <c r="L5" i="5"/>
  <c r="N4" i="5"/>
  <c r="M4" i="5"/>
  <c r="L4" i="5"/>
  <c r="N3" i="5"/>
  <c r="M3" i="5"/>
  <c r="L3" i="5"/>
  <c r="N2" i="5"/>
  <c r="M2" i="5"/>
  <c r="L2" i="5"/>
  <c r="B13" i="2"/>
  <c r="B12" i="2"/>
  <c r="B11" i="2"/>
  <c r="B6" i="2"/>
  <c r="B5" i="2"/>
  <c r="B4" i="2"/>
  <c r="B3" i="2"/>
  <c r="B2" i="2"/>
  <c r="B8" i="2" l="1"/>
  <c r="B10" i="2"/>
  <c r="B9" i="2"/>
  <c r="B7" i="2"/>
</calcChain>
</file>

<file path=xl/sharedStrings.xml><?xml version="1.0" encoding="utf-8"?>
<sst xmlns="http://schemas.openxmlformats.org/spreadsheetml/2006/main" count="172" uniqueCount="129">
  <si>
    <t>Utility</t>
  </si>
  <si>
    <t>State</t>
  </si>
  <si>
    <t>Consumer Base / Scale</t>
  </si>
  <si>
    <t>Smart Meter Initiative</t>
  </si>
  <si>
    <t>Smart Meters Sanctioned</t>
  </si>
  <si>
    <t>Smart Meters Awarded</t>
  </si>
  <si>
    <t>Smart Meters Delivered</t>
  </si>
  <si>
    <t>Smart Meters Installed</t>
  </si>
  <si>
    <t>Charged Meters</t>
  </si>
  <si>
    <t>Communicating Meters</t>
  </si>
  <si>
    <t>Prepaid Mode</t>
  </si>
  <si>
    <t>Annual Target</t>
  </si>
  <si>
    <t>Award Rate (INR/unit)</t>
  </si>
  <si>
    <t>Award Cost (INR Lakh)</t>
  </si>
  <si>
    <t>Award Cost (INR Cr)</t>
  </si>
  <si>
    <t>Rollout Status</t>
  </si>
  <si>
    <t>AMISP / Technology Partner</t>
  </si>
  <si>
    <t>Tender / Procurement Information</t>
  </si>
  <si>
    <t>Contract / Package Detail</t>
  </si>
  <si>
    <t>Reporting Period</t>
  </si>
  <si>
    <t>Dashboard Last Updated</t>
  </si>
  <si>
    <t>Dashboard Source Link</t>
  </si>
  <si>
    <t>AMISP / Procurement Source Link</t>
  </si>
  <si>
    <t>Additional Source Link</t>
  </si>
  <si>
    <t>Notes</t>
  </si>
  <si>
    <t>Maharashtra State Electricity Distribution Co. Ltd. (MSEDCL)</t>
  </si>
  <si>
    <t>Maharashtra</t>
  </si>
  <si>
    <t>Large state-wide electricity distribution utility</t>
  </si>
  <si>
    <t>RDSS Smart Metering</t>
  </si>
  <si>
    <t>Ongoing</t>
  </si>
  <si>
    <t>Multiple — Adani Energy Solutions Ltd., NCC Ltd., Montecarlo Ltd., Genus Power Infrastructures Ltd.</t>
  </si>
  <si>
    <t>MSEDCL awarded multiple AMISP packages in 2023. The 2022 Tender No. MMD/T-NSC-05/0922 was later cancelled; therefore it is historical context, not the final award document.</t>
  </si>
  <si>
    <t>Multiple AMISP packages; current AMISP agencies identified from MSEDCL material and market sources.</t>
  </si>
  <si>
    <t>FY 2027 - September</t>
  </si>
  <si>
    <t>2 August 2026</t>
  </si>
  <si>
    <t>https://www.rdss.powermin.gov.in/sm-districtwise-data</t>
  </si>
  <si>
    <t>https://www.mahadiscom.in/en/tender-cancellation-notice-of-tender-no-mmd-t-nsc-05-0922mmd-t-nsc-06-0922-and-mmd-t-nsc-07-0922-for-appointment-of-advanced-metering-infrastructure-service-provider-amisp-for-smart-2/</t>
  </si>
  <si>
    <t>Andhra Pradesh Southern Power Distribution Company Ltd. (APSPDCL)</t>
  </si>
  <si>
    <t>Andhra Pradesh</t>
  </si>
  <si>
    <t>Southern Andhra Pradesh distribution utility</t>
  </si>
  <si>
    <t>Multiple — Shiridi Sai Electricals, Adani Energy Solutions Ltd. (AESL/Adani Transmission)</t>
  </si>
  <si>
    <t>Agreement No. 05/2023-24 dated 10-Jul-2023; AMISP appointment for 13,20,419 smart meters in TOTEX mode on DBFOOT under RDSS. Adani project page reports 1.3 million meters, ₹18.0 billion contract value and 120 months.</t>
  </si>
  <si>
    <t>Adani package: 13,20,419 meters; ₹1,800 Cr; 120 months; DBFOOT; award June &amp; September 2023; Nellore, Chittoor, Kadapa, Anantapuram &amp; Kurnool.</t>
  </si>
  <si>
    <t>https://www.adanienergysolutions.com/smart-metering/apspdcl</t>
  </si>
  <si>
    <t>https://www.apeasternpower.com/MqKfcSkRsjsSlg0NlDDHYCT7dKQ%3D?fileName=STATE+ELECTRICITY+PLAN.pdf&amp;filePath=%2Fupload%2FExternal_Files%2F%2FRegulatory%2FAPERC_RELATED%28TARIFF%2CFSA%29%2F</t>
  </si>
  <si>
    <t>Current FY2027 Sep dashboard: sanctioned 24,14,631, installed 11,67,266, communicating 11,22,677. Awarded 23,08,432 is from the Sep-2025 smart-consumer-metering status snapshot, so it is historical and not a same-snapshot figure. Adani package itself is 13,20,419 meters. Delivered is left blank because no current authoritative delivered figure was found.</t>
  </si>
  <si>
    <t>Andhra Pradesh Eastern Power Distribution Company Ltd. (APEPDCL)</t>
  </si>
  <si>
    <t>Eastern Andhra Pradesh distribution utility</t>
  </si>
  <si>
    <t>Multiple — Shiridi Sai Electricals, Adani Energy Solutions Ltd. (AESL)</t>
  </si>
  <si>
    <t>RDSS smart-metering packages under APEPDCL; State Electricity Plan reports AMISP Phase I and Phase II plus agricultural consumers, with total awarded quantity 13,36,375.</t>
  </si>
  <si>
    <t>APEPDCL total: 13,36,375 awarded; State Electricity Plan reports award cost ₹1,901 Cr and historical received/installed figures. AESL separately reports a 10.78-lakh-meter APEPDCL project.</t>
  </si>
  <si>
    <t>https://www.adanienergysolutions.com/digital-reports/energy-solution/2026/portfolio-and-presence.html</t>
  </si>
  <si>
    <t>Current dashboard values are primary for September FY2027. AMISP names are supported by the Sep-2025 RDSS status snapshot and AESL portfolio; the State Electricity Plan supports package quantities/costs.</t>
  </si>
  <si>
    <t>North Bihar Power Distribution Company Ltd. (NBPDCL)</t>
  </si>
  <si>
    <t>Bihar</t>
  </si>
  <si>
    <t>Northern Bihar distribution utility</t>
  </si>
  <si>
    <t>Multiple — Secure Meters, Adani Energy Solutions, NCC, Hi-Print</t>
  </si>
  <si>
    <t>NBPDCL smart-meter procurement includes multiple AMISP/vendor projects. NBPDCL’s official smart-meter page identifies vendor-specific consumer portals; a BERC filing records Secure Meters as L1 for the initial 26-lakh phase.</t>
  </si>
  <si>
    <t>Current RDSS AMISP/SI status identifies Secure Meters, Adani, NCC and Hi-Print; NBPDCL official smart-meter page confirms vendor-specific smart-meter support for NCC and Hi-Print.</t>
  </si>
  <si>
    <t>https://nbpdcl.co.in/sm_meter_vendor.aspx</t>
  </si>
  <si>
    <t>https://nbpdcl.co.in/Tariff_Regulation_PDF/291/K.%209823/RESPONSE%20%20OF%20%20BERC%20LETTER%20NO.%201010%20%20%20DATED%2030.11.2023.PDF</t>
  </si>
  <si>
    <t>Current dashboard values are primary. The AMISP list is supported by Bihar smart-meter project material: Secure Meters, Adani, NCC and Hi-Print are identified across NBPDCL projects. Treat this as project/vendor participation context rather than assuming all four belong to one identical current dashboard package.</t>
  </si>
  <si>
    <t>Uttarakhand Power Corporation Ltd. (UPCL)</t>
  </si>
  <si>
    <t>Uttarakhand</t>
  </si>
  <si>
    <t>State-wide Uttarakhand distribution utility</t>
  </si>
  <si>
    <t>Multiple — Garhwal Smart Metering Pvt. Ltd. (Genus-backed), Adani Energy Solutions Ltd.</t>
  </si>
  <si>
    <t>UPCL smart-metering is split between Garhwal and Kumaon packages under DBFOOT/TOTEX-style AMISP arrangements. UERC material dated Dec-2025 identifies GSMPL and Adani Energy Solutions as the two AMISP entities.</t>
  </si>
  <si>
    <t>Garhwal: GSMPL, 9,94,379 meters, contract signed Mar-2024, 120 months; Genus provides EPC/O&amp;M. Kumaon: Adani Energy Solutions, 6,55,305 meters; combined scope = 16,49,684.</t>
  </si>
  <si>
    <t>https://cdnbbsr.s3waas.gov.in/s3cf05968255451bdefe3c5bc64d550517/uploads/2026/03/202603311394829151.pdf</t>
  </si>
  <si>
    <t>https://www.icra.in/Rating/GetRationalReportFilePdf?id=140745</t>
  </si>
  <si>
    <t>Dashboard reports Delivered 1,10,607 versus Installed 7,05,181 and Charged/Communicating 7,05,244; figures are retained exactly as displayed and flagged rather than reconciled. ICRA reports Dec-2025 Garhwal progress separately.</t>
  </si>
  <si>
    <t>Metric</t>
  </si>
  <si>
    <t>Value</t>
  </si>
  <si>
    <t>Formula / Interpretation</t>
  </si>
  <si>
    <t>Sanctioned consumer meters</t>
  </si>
  <si>
    <t>RDSS MIS report</t>
  </si>
  <si>
    <t>Awarded consumer meters</t>
  </si>
  <si>
    <t>Delivered consumer meters</t>
  </si>
  <si>
    <t>Installed consumer meters</t>
  </si>
  <si>
    <t>Communicating meters</t>
  </si>
  <si>
    <t>Installation / sanctioned</t>
  </si>
  <si>
    <t>Installed ÷ sanctioned</t>
  </si>
  <si>
    <t>Delivered / sanctioned</t>
  </si>
  <si>
    <t>Delivered ÷ sanctioned</t>
  </si>
  <si>
    <t>Installed / delivered</t>
  </si>
  <si>
    <t>Installed ÷ delivered</t>
  </si>
  <si>
    <t>Awarded / sanctioned</t>
  </si>
  <si>
    <t>Awarded ÷ sanctioned</t>
  </si>
  <si>
    <t>Award cost (INR Cr)</t>
  </si>
  <si>
    <t>INR Lakh ÷ 100</t>
  </si>
  <si>
    <t>Reporting period</t>
  </si>
  <si>
    <t>As displayed in dashboard</t>
  </si>
  <si>
    <t>Dashboard last updated</t>
  </si>
  <si>
    <t>Item</t>
  </si>
  <si>
    <t>Definition / Rule</t>
  </si>
  <si>
    <t>Project objective</t>
  </si>
  <si>
    <t>Compare smart-meter deployment and AMISP/procurement patterns across five selected Indian DISCOMs using a consistent September FY2027 RDSS dashboard snapshot plus utility/regulatory/corporate sources.</t>
  </si>
  <si>
    <t>Primary dataset</t>
  </si>
  <si>
    <t>Ministry of Power / REC / PFC RDSS MIS Smart Metering dashboard, DISCOM level, FY2027, September. Dashboard page states last updated 2 August 2026.</t>
  </si>
  <si>
    <t>Units</t>
  </si>
  <si>
    <t>Dashboard cost is in INR lakh. Workbook converts to INR crore using 100 lakh = 1 crore. Meter quantities are stored as whole numbers.</t>
  </si>
  <si>
    <t>Current vs historical sources</t>
  </si>
  <si>
    <t>Current dashboard values are treated as the primary current snapshot. Older tender, regulatory and corporate documents are used only to explain procurement, AMISP identity, package structure and historical progress.</t>
  </si>
  <si>
    <t>AMISP terminology</t>
  </si>
  <si>
    <t>The workbook uses “AMISP / Technology Partner” as a practical field label, but notes distinguish AMISP/SPV/EPC-O&amp;M roles where the source provides that detail.</t>
  </si>
  <si>
    <t>Data integrity rule</t>
  </si>
  <si>
    <t>Every utility has a dashboard source link plus supporting AMISP/procurement links. Where a source is historical, the workbook explicitly labels the reporting date and does not present it as the current dashboard snapshot.</t>
  </si>
  <si>
    <t>Source-link rule</t>
  </si>
  <si>
    <t>Every researched utility has a dashboard source link plus an AMISP/procurement source link and, where useful, an additional supporting link. The Sources &amp; Notes sheet contains the same links with descriptions of what each source supports.</t>
  </si>
  <si>
    <t>Interpretation caution</t>
  </si>
  <si>
    <t>Award cost figures can differ across reporting scopes and dates. Do not compare a package contract value from a corporate project page directly with the RDSS dashboard awarded cost unless the scope and reporting basis match.</t>
  </si>
  <si>
    <t>Selected utilities</t>
  </si>
  <si>
    <t>MSEDCL (Maharashtra), APSPDCL and APEPDCL (Andhra Pradesh), NBPDCL (Bihar), and UPCL (Uttarakhand).</t>
  </si>
  <si>
    <t>State/Region</t>
  </si>
  <si>
    <t>Installed / Sanctioned</t>
  </si>
  <si>
    <t>Communicating / Installed</t>
  </si>
  <si>
    <t>Prepaid / Communicating</t>
  </si>
  <si>
    <t>Key Findings</t>
  </si>
  <si>
    <t>1</t>
  </si>
  <si>
    <t>NBPDCL has very high communicating and prepaid meter counts compared with its installed meters.</t>
  </si>
  <si>
    <t>2</t>
  </si>
  <si>
    <t>APEPDCL has a high installed-to-sanctioned progress and most installed meters are communicating.</t>
  </si>
  <si>
    <t>3</t>
  </si>
  <si>
    <t>UPCL dashboard data contains an unusual delivered-versus-installed difference; the source figures should be retained with a note.</t>
  </si>
  <si>
    <t>4</t>
  </si>
  <si>
    <t>The AMISP market is shared among multiple companies across the selected DISCOMs, including Adani, Genus/GSMPL, NCC, Secure Meters, Hi-Print and Montecarlo.</t>
  </si>
  <si>
    <t>5</t>
  </si>
  <si>
    <t>The main quantitative comparison uses the FY2027 September RDSS MIS dashboard; older documents are used only for supporting procurement/AMISP details.</t>
  </si>
  <si>
    <t>Figures are recorded exactly as displayed in the RDSS MIS report. Awarded quantity is higher than sanctioned quantity in the displayed data; do not alter without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</si>
</sst>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2"/>
      <name val="Calibri"/>
    </font>
    <font>
      <sz val="12"/>
      <name val="Times New Roman"/>
      <family val="1"/>
    </font>
    <font>
      <sz val="16"/>
      <name val="Times New Roman"/>
      <family val="1"/>
    </font>
    <font>
      <sz val="16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3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0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4" fillId="0" borderId="0" xfId="0" applyFont="1"/>
    <xf numFmtId="0" fontId="1" fillId="0" borderId="0" xfId="1"/>
    <xf numFmtId="0" fontId="1" fillId="0" borderId="0" xfId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horizontal="left" vertical="top" wrapText="1"/>
    </xf>
    <xf numFmtId="3" fontId="5" fillId="3" borderId="1" xfId="0" applyNumberFormat="1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nienergysolutions.com/digital-reports/energy-solution/2026/portfolio-and-presence.html" TargetMode="External"/><Relationship Id="rId13" Type="http://schemas.openxmlformats.org/officeDocument/2006/relationships/hyperlink" Target="https://www.rdss.powermin.gov.in/sm-districtwise-data" TargetMode="External"/><Relationship Id="rId3" Type="http://schemas.openxmlformats.org/officeDocument/2006/relationships/hyperlink" Target="https://www.mahadiscom.in/en/tender-cancellation-notice-of-tender-no-mmd-t-nsc-05-0922mmd-t-nsc-06-0922-and-mmd-t-nsc-07-0922-for-appointment-of-advanced-metering-infrastructure-service-provider-amisp-for-smart-2/" TargetMode="External"/><Relationship Id="rId7" Type="http://schemas.openxmlformats.org/officeDocument/2006/relationships/hyperlink" Target="https://www.rdss.powermin.gov.in/sm-districtwise-data" TargetMode="External"/><Relationship Id="rId12" Type="http://schemas.openxmlformats.org/officeDocument/2006/relationships/hyperlink" Target="https://nbpdcl.co.in/Tariff_Regulation_PDF/291/K.%209823/RESPONSE%20%20OF%20%20BERC%20LETTER%20NO.%201010%20%20%20DATED%2030.11.2023.PDF" TargetMode="External"/><Relationship Id="rId2" Type="http://schemas.openxmlformats.org/officeDocument/2006/relationships/hyperlink" Target="https://www.rdss.powermin.gov.in/sm-districtwise-dat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rdss.powermin.gov.in/sm-districtwise-data" TargetMode="External"/><Relationship Id="rId6" Type="http://schemas.openxmlformats.org/officeDocument/2006/relationships/hyperlink" Target="https://www.apeasternpower.com/MqKfcSkRsjsSlg0NlDDHYCT7dKQ%3D?fileName=STATE+ELECTRICITY+PLAN.pdf&amp;filePath=%2Fupload%2FExternal_Files%2F%2FRegulatory%2FAPERC_RELATED%28TARIFF%2CFSA%29%2F" TargetMode="External"/><Relationship Id="rId11" Type="http://schemas.openxmlformats.org/officeDocument/2006/relationships/hyperlink" Target="https://nbpdcl.co.in/sm_meter_vendor.aspx" TargetMode="External"/><Relationship Id="rId5" Type="http://schemas.openxmlformats.org/officeDocument/2006/relationships/hyperlink" Target="https://www.adanienergysolutions.com/smart-metering/apspdcl" TargetMode="External"/><Relationship Id="rId15" Type="http://schemas.openxmlformats.org/officeDocument/2006/relationships/hyperlink" Target="https://www.icra.in/Rating/GetRationalReportFilePdf?id=140745" TargetMode="External"/><Relationship Id="rId10" Type="http://schemas.openxmlformats.org/officeDocument/2006/relationships/hyperlink" Target="https://www.rdss.powermin.gov.in/sm-districtwise-data" TargetMode="External"/><Relationship Id="rId4" Type="http://schemas.openxmlformats.org/officeDocument/2006/relationships/hyperlink" Target="https://www.rdss.powermin.gov.in/sm-districtwise-data" TargetMode="External"/><Relationship Id="rId9" Type="http://schemas.openxmlformats.org/officeDocument/2006/relationships/hyperlink" Target="https://www.apeasternpower.com/MqKfcSkRsjsSlg0NlDDHYCT7dKQ%3D?fileName=STATE+ELECTRICITY+PLAN.pdf&amp;filePath=%2Fupload%2FExternal_Files%2F%2FRegulatory%2FAPERC_RELATED%28TARIFF%2CFSA%29%2F" TargetMode="External"/><Relationship Id="rId14" Type="http://schemas.openxmlformats.org/officeDocument/2006/relationships/hyperlink" Target="https://cdnbbsr.s3waas.gov.in/s3cf05968255451bdefe3c5bc64d550517/uploads/2026/03/20260331139482915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zoomScale="64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34" customWidth="1"/>
    <col min="2" max="2" width="21.77734375" customWidth="1"/>
    <col min="3" max="3" width="26.88671875" customWidth="1"/>
    <col min="4" max="6" width="18" customWidth="1"/>
    <col min="7" max="7" width="16" customWidth="1"/>
    <col min="8" max="8" width="20" customWidth="1"/>
    <col min="9" max="10" width="15" customWidth="1"/>
    <col min="11" max="12" width="18" customWidth="1"/>
    <col min="13" max="13" width="14" customWidth="1"/>
    <col min="14" max="14" width="22.5546875" customWidth="1"/>
    <col min="15" max="15" width="28" customWidth="1"/>
    <col min="16" max="16" width="55" customWidth="1"/>
    <col min="17" max="17" width="27.88671875" customWidth="1"/>
    <col min="18" max="18" width="34.109375" customWidth="1"/>
    <col min="19" max="21" width="45" customWidth="1"/>
    <col min="22" max="22" width="65.88671875" customWidth="1"/>
    <col min="23" max="23" width="55" customWidth="1"/>
    <col min="24" max="24" width="45" customWidth="1"/>
    <col min="25" max="25" width="70" customWidth="1"/>
  </cols>
  <sheetData>
    <row r="1" spans="1:25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93.6" x14ac:dyDescent="0.3">
      <c r="A2" s="15" t="s">
        <v>25</v>
      </c>
      <c r="B2" s="16" t="s">
        <v>26</v>
      </c>
      <c r="C2" s="12" t="s">
        <v>27</v>
      </c>
      <c r="D2" s="12" t="s">
        <v>28</v>
      </c>
      <c r="E2" s="17">
        <v>22924199</v>
      </c>
      <c r="F2" s="17">
        <v>24192399</v>
      </c>
      <c r="G2" s="17">
        <v>13571410</v>
      </c>
      <c r="H2" s="17">
        <v>13078342</v>
      </c>
      <c r="I2" s="18"/>
      <c r="J2" s="17">
        <v>13078342</v>
      </c>
      <c r="K2" s="17">
        <v>0</v>
      </c>
      <c r="L2" s="17">
        <v>0</v>
      </c>
      <c r="M2" s="19"/>
      <c r="N2" s="20">
        <v>2862287.57</v>
      </c>
      <c r="O2" s="20">
        <v>28622.875700000001</v>
      </c>
      <c r="P2" s="12" t="s">
        <v>29</v>
      </c>
      <c r="Q2" s="12" t="s">
        <v>30</v>
      </c>
      <c r="R2" s="12" t="s">
        <v>31</v>
      </c>
      <c r="S2" s="12" t="s">
        <v>32</v>
      </c>
      <c r="T2" s="12" t="s">
        <v>33</v>
      </c>
      <c r="U2" s="12" t="s">
        <v>34</v>
      </c>
      <c r="V2" s="10" t="s">
        <v>35</v>
      </c>
      <c r="W2" s="10" t="s">
        <v>35</v>
      </c>
      <c r="X2" s="10" t="s">
        <v>36</v>
      </c>
      <c r="Y2" s="14" t="s">
        <v>128</v>
      </c>
    </row>
    <row r="3" spans="1:25" ht="147" x14ac:dyDescent="0.3">
      <c r="A3" s="15" t="s">
        <v>37</v>
      </c>
      <c r="B3" s="16" t="s">
        <v>38</v>
      </c>
      <c r="C3" s="12" t="s">
        <v>39</v>
      </c>
      <c r="D3" s="12" t="s">
        <v>28</v>
      </c>
      <c r="E3" s="17">
        <v>2414631</v>
      </c>
      <c r="F3" s="17">
        <v>2308432</v>
      </c>
      <c r="G3" s="18"/>
      <c r="H3" s="17">
        <v>1167266</v>
      </c>
      <c r="I3" s="18"/>
      <c r="J3" s="17">
        <v>1122677</v>
      </c>
      <c r="K3" s="17">
        <v>0</v>
      </c>
      <c r="L3" s="17">
        <v>0</v>
      </c>
      <c r="M3" s="19"/>
      <c r="N3" s="20">
        <v>435242.76</v>
      </c>
      <c r="O3" s="20">
        <v>4352.4276</v>
      </c>
      <c r="P3" s="12" t="s">
        <v>29</v>
      </c>
      <c r="Q3" s="12" t="s">
        <v>40</v>
      </c>
      <c r="R3" s="12" t="s">
        <v>41</v>
      </c>
      <c r="S3" s="12" t="s">
        <v>42</v>
      </c>
      <c r="T3" s="12" t="s">
        <v>33</v>
      </c>
      <c r="U3" s="12" t="s">
        <v>34</v>
      </c>
      <c r="V3" s="11" t="s">
        <v>35</v>
      </c>
      <c r="W3" s="11" t="s">
        <v>43</v>
      </c>
      <c r="X3" s="11" t="s">
        <v>44</v>
      </c>
      <c r="Y3" s="13" t="s">
        <v>45</v>
      </c>
    </row>
    <row r="4" spans="1:25" ht="93.6" x14ac:dyDescent="0.3">
      <c r="A4" s="15" t="s">
        <v>46</v>
      </c>
      <c r="B4" s="16" t="s">
        <v>38</v>
      </c>
      <c r="C4" s="12" t="s">
        <v>47</v>
      </c>
      <c r="D4" s="12" t="s">
        <v>28</v>
      </c>
      <c r="E4" s="17">
        <v>1336375</v>
      </c>
      <c r="F4" s="17">
        <v>1336375</v>
      </c>
      <c r="G4" s="17">
        <v>1153646</v>
      </c>
      <c r="H4" s="17">
        <v>1010870</v>
      </c>
      <c r="I4" s="17">
        <v>967821</v>
      </c>
      <c r="J4" s="17">
        <v>955881</v>
      </c>
      <c r="K4" s="17">
        <v>0</v>
      </c>
      <c r="L4" s="17">
        <v>0</v>
      </c>
      <c r="M4" s="20">
        <v>14058.04</v>
      </c>
      <c r="N4" s="20">
        <v>187868.17</v>
      </c>
      <c r="O4" s="20">
        <v>1878.6817000000001</v>
      </c>
      <c r="P4" s="12" t="s">
        <v>29</v>
      </c>
      <c r="Q4" s="12" t="s">
        <v>48</v>
      </c>
      <c r="R4" s="12" t="s">
        <v>49</v>
      </c>
      <c r="S4" s="12" t="s">
        <v>50</v>
      </c>
      <c r="T4" s="12" t="s">
        <v>33</v>
      </c>
      <c r="U4" s="12" t="s">
        <v>34</v>
      </c>
      <c r="V4" s="11" t="s">
        <v>35</v>
      </c>
      <c r="W4" s="11" t="s">
        <v>51</v>
      </c>
      <c r="X4" s="11" t="s">
        <v>44</v>
      </c>
      <c r="Y4" s="13" t="s">
        <v>52</v>
      </c>
    </row>
    <row r="5" spans="1:25" ht="126" x14ac:dyDescent="0.3">
      <c r="A5" s="15" t="s">
        <v>53</v>
      </c>
      <c r="B5" s="16" t="s">
        <v>54</v>
      </c>
      <c r="C5" s="12" t="s">
        <v>55</v>
      </c>
      <c r="D5" s="12" t="s">
        <v>28</v>
      </c>
      <c r="E5" s="17">
        <v>1177489</v>
      </c>
      <c r="F5" s="17">
        <v>1168546</v>
      </c>
      <c r="G5" s="17">
        <v>1028047</v>
      </c>
      <c r="H5" s="17">
        <v>1023804</v>
      </c>
      <c r="I5" s="17">
        <v>1017414</v>
      </c>
      <c r="J5" s="17">
        <v>1016824</v>
      </c>
      <c r="K5" s="17">
        <v>1016222</v>
      </c>
      <c r="L5" s="17">
        <v>0</v>
      </c>
      <c r="M5" s="20">
        <v>18104.82</v>
      </c>
      <c r="N5" s="20">
        <v>211563.09</v>
      </c>
      <c r="O5" s="20">
        <v>2115.6309000000001</v>
      </c>
      <c r="P5" s="12" t="s">
        <v>29</v>
      </c>
      <c r="Q5" s="12" t="s">
        <v>56</v>
      </c>
      <c r="R5" s="12" t="s">
        <v>57</v>
      </c>
      <c r="S5" s="12" t="s">
        <v>58</v>
      </c>
      <c r="T5" s="12" t="s">
        <v>33</v>
      </c>
      <c r="U5" s="12" t="s">
        <v>34</v>
      </c>
      <c r="V5" s="11" t="s">
        <v>35</v>
      </c>
      <c r="W5" s="11" t="s">
        <v>59</v>
      </c>
      <c r="X5" s="11" t="s">
        <v>60</v>
      </c>
      <c r="Y5" s="13" t="s">
        <v>61</v>
      </c>
    </row>
    <row r="6" spans="1:25" ht="109.2" x14ac:dyDescent="0.3">
      <c r="A6" s="15" t="s">
        <v>62</v>
      </c>
      <c r="B6" s="16" t="s">
        <v>63</v>
      </c>
      <c r="C6" s="12" t="s">
        <v>64</v>
      </c>
      <c r="D6" s="12" t="s">
        <v>28</v>
      </c>
      <c r="E6" s="17">
        <v>1649684</v>
      </c>
      <c r="F6" s="17">
        <v>1649684</v>
      </c>
      <c r="G6" s="17">
        <v>110607</v>
      </c>
      <c r="H6" s="17">
        <v>705181</v>
      </c>
      <c r="I6" s="17">
        <v>705244</v>
      </c>
      <c r="J6" s="17">
        <v>705244</v>
      </c>
      <c r="K6" s="17">
        <v>1907</v>
      </c>
      <c r="L6" s="17">
        <v>57839</v>
      </c>
      <c r="M6" s="20">
        <v>12287.14</v>
      </c>
      <c r="N6" s="20">
        <v>202699.06</v>
      </c>
      <c r="O6" s="20">
        <v>2026.9906000000001</v>
      </c>
      <c r="P6" s="12" t="s">
        <v>29</v>
      </c>
      <c r="Q6" s="12" t="s">
        <v>65</v>
      </c>
      <c r="R6" s="12" t="s">
        <v>66</v>
      </c>
      <c r="S6" s="12" t="s">
        <v>67</v>
      </c>
      <c r="T6" s="12" t="s">
        <v>33</v>
      </c>
      <c r="U6" s="12" t="s">
        <v>34</v>
      </c>
      <c r="V6" s="11" t="s">
        <v>35</v>
      </c>
      <c r="W6" s="11" t="s">
        <v>68</v>
      </c>
      <c r="X6" s="11" t="s">
        <v>69</v>
      </c>
      <c r="Y6" s="13" t="s">
        <v>70</v>
      </c>
    </row>
  </sheetData>
  <autoFilter ref="A1:Y6" xr:uid="{00000000-0009-0000-0000-000000000000}"/>
  <hyperlinks>
    <hyperlink ref="V2" r:id="rId1" xr:uid="{00000000-0004-0000-0000-000000000000}"/>
    <hyperlink ref="W2" r:id="rId2" xr:uid="{00000000-0004-0000-0000-000001000000}"/>
    <hyperlink ref="X2" r:id="rId3" xr:uid="{00000000-0004-0000-0000-000002000000}"/>
    <hyperlink ref="V3" r:id="rId4" xr:uid="{00000000-0004-0000-0000-000003000000}"/>
    <hyperlink ref="W3" r:id="rId5" xr:uid="{00000000-0004-0000-0000-000004000000}"/>
    <hyperlink ref="X3" r:id="rId6" xr:uid="{00000000-0004-0000-0000-000005000000}"/>
    <hyperlink ref="V4" r:id="rId7" xr:uid="{00000000-0004-0000-0000-000006000000}"/>
    <hyperlink ref="W4" r:id="rId8" xr:uid="{00000000-0004-0000-0000-000007000000}"/>
    <hyperlink ref="X4" r:id="rId9" xr:uid="{00000000-0004-0000-0000-000008000000}"/>
    <hyperlink ref="V5" r:id="rId10" xr:uid="{00000000-0004-0000-0000-000009000000}"/>
    <hyperlink ref="W5" r:id="rId11" xr:uid="{00000000-0004-0000-0000-00000A000000}"/>
    <hyperlink ref="X5" r:id="rId12" xr:uid="{00000000-0004-0000-0000-00000B000000}"/>
    <hyperlink ref="V6" r:id="rId13" xr:uid="{00000000-0004-0000-0000-00000C000000}"/>
    <hyperlink ref="W6" r:id="rId14" xr:uid="{00000000-0004-0000-0000-00000D000000}"/>
    <hyperlink ref="X6" r:id="rId15" xr:uid="{00000000-0004-0000-0000-00000E000000}"/>
  </hyperlinks>
  <pageMargins left="0.75" right="0.75" top="1" bottom="1" header="0.5" footer="0.5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="90" workbookViewId="0">
      <selection activeCell="B3" sqref="B3"/>
    </sheetView>
  </sheetViews>
  <sheetFormatPr defaultRowHeight="14.4" x14ac:dyDescent="0.3"/>
  <cols>
    <col min="1" max="1" width="32" customWidth="1"/>
    <col min="2" max="2" width="24" customWidth="1"/>
    <col min="3" max="3" width="45" customWidth="1"/>
  </cols>
  <sheetData>
    <row r="1" spans="1:3" x14ac:dyDescent="0.3">
      <c r="A1" s="4" t="s">
        <v>71</v>
      </c>
      <c r="B1" s="4" t="s">
        <v>72</v>
      </c>
      <c r="C1" s="4" t="s">
        <v>73</v>
      </c>
    </row>
    <row r="2" spans="1:3" x14ac:dyDescent="0.3">
      <c r="A2" s="2" t="s">
        <v>74</v>
      </c>
      <c r="B2" s="3">
        <f>'Utility Research'!E2</f>
        <v>22924199</v>
      </c>
      <c r="C2" s="2" t="s">
        <v>75</v>
      </c>
    </row>
    <row r="3" spans="1:3" x14ac:dyDescent="0.3">
      <c r="A3" s="2" t="s">
        <v>76</v>
      </c>
      <c r="B3" s="3">
        <f>'Utility Research'!F2</f>
        <v>24192399</v>
      </c>
      <c r="C3" s="2" t="s">
        <v>75</v>
      </c>
    </row>
    <row r="4" spans="1:3" x14ac:dyDescent="0.3">
      <c r="A4" s="2" t="s">
        <v>77</v>
      </c>
      <c r="B4" s="3">
        <f>'Utility Research'!G2</f>
        <v>13571410</v>
      </c>
      <c r="C4" s="2" t="s">
        <v>75</v>
      </c>
    </row>
    <row r="5" spans="1:3" x14ac:dyDescent="0.3">
      <c r="A5" s="2" t="s">
        <v>78</v>
      </c>
      <c r="B5" s="3">
        <f>'Utility Research'!H2</f>
        <v>13078342</v>
      </c>
      <c r="C5" s="2" t="s">
        <v>75</v>
      </c>
    </row>
    <row r="6" spans="1:3" x14ac:dyDescent="0.3">
      <c r="A6" s="2" t="s">
        <v>79</v>
      </c>
      <c r="B6" s="3">
        <f>'Utility Research'!J2</f>
        <v>13078342</v>
      </c>
      <c r="C6" s="2" t="s">
        <v>75</v>
      </c>
    </row>
    <row r="7" spans="1:3" x14ac:dyDescent="0.3">
      <c r="A7" s="2" t="s">
        <v>80</v>
      </c>
      <c r="B7" s="5">
        <f>B5/B2</f>
        <v>0.57050377201838109</v>
      </c>
      <c r="C7" s="2" t="s">
        <v>81</v>
      </c>
    </row>
    <row r="8" spans="1:3" x14ac:dyDescent="0.3">
      <c r="A8" s="2" t="s">
        <v>82</v>
      </c>
      <c r="B8" s="5">
        <f>B4/B2</f>
        <v>0.59201239703075337</v>
      </c>
      <c r="C8" s="2" t="s">
        <v>83</v>
      </c>
    </row>
    <row r="9" spans="1:3" x14ac:dyDescent="0.3">
      <c r="A9" s="2" t="s">
        <v>84</v>
      </c>
      <c r="B9" s="5">
        <f>B5/B4</f>
        <v>0.96366862396759068</v>
      </c>
      <c r="C9" s="2" t="s">
        <v>85</v>
      </c>
    </row>
    <row r="10" spans="1:3" x14ac:dyDescent="0.3">
      <c r="A10" s="2" t="s">
        <v>86</v>
      </c>
      <c r="B10" s="5">
        <f>B3/B2</f>
        <v>1.0553214531072601</v>
      </c>
      <c r="C10" s="2" t="s">
        <v>87</v>
      </c>
    </row>
    <row r="11" spans="1:3" x14ac:dyDescent="0.3">
      <c r="A11" s="2" t="s">
        <v>88</v>
      </c>
      <c r="B11" s="3">
        <f>'Utility Research'!O2</f>
        <v>28622.875700000001</v>
      </c>
      <c r="C11" s="2" t="s">
        <v>89</v>
      </c>
    </row>
    <row r="12" spans="1:3" x14ac:dyDescent="0.3">
      <c r="A12" s="2" t="s">
        <v>90</v>
      </c>
      <c r="B12" s="3" t="str">
        <f>'Utility Research'!T2</f>
        <v>FY 2027 - September</v>
      </c>
      <c r="C12" s="2" t="s">
        <v>91</v>
      </c>
    </row>
    <row r="13" spans="1:3" x14ac:dyDescent="0.3">
      <c r="A13" s="2" t="s">
        <v>92</v>
      </c>
      <c r="B13" s="3" t="str">
        <f>'Utility Research'!U2</f>
        <v>2 August 2026</v>
      </c>
      <c r="C13" s="2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="90" workbookViewId="0"/>
  </sheetViews>
  <sheetFormatPr defaultRowHeight="14.4" x14ac:dyDescent="0.3"/>
  <cols>
    <col min="1" max="1" width="28" customWidth="1"/>
    <col min="2" max="2" width="100" customWidth="1"/>
  </cols>
  <sheetData>
    <row r="1" spans="1:2" ht="15.6" x14ac:dyDescent="0.3">
      <c r="A1" s="6" t="s">
        <v>93</v>
      </c>
      <c r="B1" s="6" t="s">
        <v>94</v>
      </c>
    </row>
    <row r="2" spans="1:2" ht="55.05" customHeight="1" x14ac:dyDescent="0.3">
      <c r="A2" s="2" t="s">
        <v>95</v>
      </c>
      <c r="B2" s="2" t="s">
        <v>96</v>
      </c>
    </row>
    <row r="3" spans="1:2" ht="55.05" customHeight="1" x14ac:dyDescent="0.3">
      <c r="A3" s="2" t="s">
        <v>97</v>
      </c>
      <c r="B3" s="2" t="s">
        <v>98</v>
      </c>
    </row>
    <row r="4" spans="1:2" ht="55.05" customHeight="1" x14ac:dyDescent="0.3">
      <c r="A4" s="2" t="s">
        <v>99</v>
      </c>
      <c r="B4" s="2" t="s">
        <v>100</v>
      </c>
    </row>
    <row r="5" spans="1:2" ht="55.05" customHeight="1" x14ac:dyDescent="0.3">
      <c r="A5" s="2" t="s">
        <v>101</v>
      </c>
      <c r="B5" s="2" t="s">
        <v>102</v>
      </c>
    </row>
    <row r="6" spans="1:2" ht="55.05" customHeight="1" x14ac:dyDescent="0.3">
      <c r="A6" s="2" t="s">
        <v>103</v>
      </c>
      <c r="B6" s="2" t="s">
        <v>104</v>
      </c>
    </row>
    <row r="7" spans="1:2" ht="55.05" customHeight="1" x14ac:dyDescent="0.3">
      <c r="A7" s="2" t="s">
        <v>105</v>
      </c>
      <c r="B7" s="2" t="s">
        <v>106</v>
      </c>
    </row>
    <row r="8" spans="1:2" ht="55.05" customHeight="1" x14ac:dyDescent="0.3">
      <c r="A8" s="2" t="s">
        <v>107</v>
      </c>
      <c r="B8" s="2" t="s">
        <v>108</v>
      </c>
    </row>
    <row r="9" spans="1:2" ht="55.05" customHeight="1" x14ac:dyDescent="0.3">
      <c r="A9" s="2" t="s">
        <v>109</v>
      </c>
      <c r="B9" s="2" t="s">
        <v>110</v>
      </c>
    </row>
    <row r="10" spans="1:2" ht="55.05" customHeight="1" x14ac:dyDescent="0.3">
      <c r="A10" s="2" t="s">
        <v>111</v>
      </c>
      <c r="B10" s="2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topLeftCell="G1"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5" customWidth="1"/>
    <col min="3" max="14" width="22" customWidth="1"/>
  </cols>
  <sheetData>
    <row r="1" spans="1:14" ht="28.8" x14ac:dyDescent="0.3">
      <c r="A1" s="1" t="s">
        <v>0</v>
      </c>
      <c r="B1" s="1" t="s">
        <v>113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14</v>
      </c>
      <c r="L1" s="1" t="s">
        <v>114</v>
      </c>
      <c r="M1" s="1" t="s">
        <v>115</v>
      </c>
      <c r="N1" s="1" t="s">
        <v>116</v>
      </c>
    </row>
    <row r="2" spans="1:14" ht="28.8" x14ac:dyDescent="0.3">
      <c r="A2" s="7" t="s">
        <v>25</v>
      </c>
      <c r="B2" s="7"/>
      <c r="C2" s="7">
        <v>22924199</v>
      </c>
      <c r="D2" s="7">
        <v>24192399</v>
      </c>
      <c r="E2" s="7">
        <v>13571410</v>
      </c>
      <c r="F2" s="7">
        <v>13078342</v>
      </c>
      <c r="G2" s="7"/>
      <c r="H2" s="7">
        <v>13078342</v>
      </c>
      <c r="I2" s="7">
        <v>0</v>
      </c>
      <c r="J2" s="7">
        <v>0</v>
      </c>
      <c r="K2" s="7">
        <v>28622.875700000001</v>
      </c>
      <c r="L2" s="8">
        <f>IFERROR(F2/C2,"")</f>
        <v>0.57050377201838109</v>
      </c>
      <c r="M2" s="8">
        <f>IFERROR(H2/F2,"")</f>
        <v>1</v>
      </c>
      <c r="N2" s="8">
        <f>IFERROR(I2/H2,"")</f>
        <v>0</v>
      </c>
    </row>
    <row r="3" spans="1:14" ht="28.8" x14ac:dyDescent="0.3">
      <c r="A3" s="7" t="s">
        <v>37</v>
      </c>
      <c r="B3" s="7"/>
      <c r="C3" s="7">
        <v>2414631</v>
      </c>
      <c r="D3" s="7">
        <v>2308432</v>
      </c>
      <c r="E3" s="7"/>
      <c r="F3" s="7">
        <v>1167266</v>
      </c>
      <c r="G3" s="7"/>
      <c r="H3" s="7">
        <v>1122677</v>
      </c>
      <c r="I3" s="7">
        <v>0</v>
      </c>
      <c r="J3" s="7">
        <v>0</v>
      </c>
      <c r="K3" s="7">
        <v>4352.4276</v>
      </c>
      <c r="L3" s="8">
        <f>IFERROR(F3/C3,"")</f>
        <v>0.48341382182205067</v>
      </c>
      <c r="M3" s="8">
        <f>IFERROR(H3/F3,"")</f>
        <v>0.96180048078158709</v>
      </c>
      <c r="N3" s="8">
        <f>IFERROR(I3/H3,"")</f>
        <v>0</v>
      </c>
    </row>
    <row r="4" spans="1:14" ht="28.8" x14ac:dyDescent="0.3">
      <c r="A4" s="7" t="s">
        <v>46</v>
      </c>
      <c r="B4" s="7"/>
      <c r="C4" s="7">
        <v>1336375</v>
      </c>
      <c r="D4" s="7">
        <v>1336375</v>
      </c>
      <c r="E4" s="7">
        <v>1153646</v>
      </c>
      <c r="F4" s="7">
        <v>1010870</v>
      </c>
      <c r="G4" s="7">
        <v>967821</v>
      </c>
      <c r="H4" s="7">
        <v>955881</v>
      </c>
      <c r="I4" s="7">
        <v>0</v>
      </c>
      <c r="J4" s="7">
        <v>0</v>
      </c>
      <c r="K4" s="7">
        <v>1878.6817000000001</v>
      </c>
      <c r="L4" s="8">
        <f>IFERROR(F4/C4,"")</f>
        <v>0.75642690113179312</v>
      </c>
      <c r="M4" s="8">
        <f>IFERROR(H4/F4,"")</f>
        <v>0.94560230296675141</v>
      </c>
      <c r="N4" s="8">
        <f>IFERROR(I4/H4,"")</f>
        <v>0</v>
      </c>
    </row>
    <row r="5" spans="1:14" ht="28.8" x14ac:dyDescent="0.3">
      <c r="A5" s="7" t="s">
        <v>53</v>
      </c>
      <c r="B5" s="7"/>
      <c r="C5" s="7">
        <v>1177489</v>
      </c>
      <c r="D5" s="7">
        <v>1168546</v>
      </c>
      <c r="E5" s="7">
        <v>1028047</v>
      </c>
      <c r="F5" s="7">
        <v>1023804</v>
      </c>
      <c r="G5" s="7">
        <v>1017414</v>
      </c>
      <c r="H5" s="7">
        <v>1016824</v>
      </c>
      <c r="I5" s="7">
        <v>1016222</v>
      </c>
      <c r="J5" s="7">
        <v>0</v>
      </c>
      <c r="K5" s="7">
        <v>2115.6309000000001</v>
      </c>
      <c r="L5" s="8">
        <f>IFERROR(F5/C5,"")</f>
        <v>0.86948073400261061</v>
      </c>
      <c r="M5" s="8">
        <f>IFERROR(H5/F5,"")</f>
        <v>0.99318228879746517</v>
      </c>
      <c r="N5" s="8">
        <f>IFERROR(I5/H5,"")</f>
        <v>0.99940796047300218</v>
      </c>
    </row>
    <row r="6" spans="1:14" ht="28.8" x14ac:dyDescent="0.3">
      <c r="A6" s="7" t="s">
        <v>62</v>
      </c>
      <c r="B6" s="7"/>
      <c r="C6" s="7">
        <v>1649684</v>
      </c>
      <c r="D6" s="7">
        <v>1649684</v>
      </c>
      <c r="E6" s="7">
        <v>110607</v>
      </c>
      <c r="F6" s="7">
        <v>705181</v>
      </c>
      <c r="G6" s="7">
        <v>705244</v>
      </c>
      <c r="H6" s="7">
        <v>705244</v>
      </c>
      <c r="I6" s="7">
        <v>1907</v>
      </c>
      <c r="J6" s="7">
        <v>57839</v>
      </c>
      <c r="K6" s="7">
        <v>2026.9906000000001</v>
      </c>
      <c r="L6" s="8">
        <f>IFERROR(F6/C6,"")</f>
        <v>0.42746429013071596</v>
      </c>
      <c r="M6" s="8">
        <f>IFERROR(H6/F6,"")</f>
        <v>1.0000893387655085</v>
      </c>
      <c r="N6" s="8">
        <f>IFERROR(I6/H6,"")</f>
        <v>2.7040286765998719E-3</v>
      </c>
    </row>
  </sheetData>
  <autoFilter ref="A1:N6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zoomScale="90" workbookViewId="0">
      <selection activeCell="B1" sqref="B1"/>
    </sheetView>
  </sheetViews>
  <sheetFormatPr defaultRowHeight="14.4" x14ac:dyDescent="0.3"/>
  <cols>
    <col min="1" max="1" width="10.21875" customWidth="1"/>
    <col min="2" max="2" width="110" customWidth="1"/>
  </cols>
  <sheetData>
    <row r="1" spans="1:2" ht="15.6" x14ac:dyDescent="0.3">
      <c r="B1" s="9" t="s">
        <v>117</v>
      </c>
    </row>
    <row r="3" spans="1:2" x14ac:dyDescent="0.3">
      <c r="A3" s="7" t="s">
        <v>118</v>
      </c>
      <c r="B3" s="7" t="s">
        <v>119</v>
      </c>
    </row>
    <row r="4" spans="1:2" x14ac:dyDescent="0.3">
      <c r="A4" s="7" t="s">
        <v>120</v>
      </c>
      <c r="B4" s="7" t="s">
        <v>121</v>
      </c>
    </row>
    <row r="5" spans="1:2" x14ac:dyDescent="0.3">
      <c r="A5" s="7" t="s">
        <v>122</v>
      </c>
      <c r="B5" s="7" t="s">
        <v>123</v>
      </c>
    </row>
    <row r="6" spans="1:2" ht="28.8" x14ac:dyDescent="0.3">
      <c r="A6" s="7" t="s">
        <v>124</v>
      </c>
      <c r="B6" s="7" t="s">
        <v>125</v>
      </c>
    </row>
    <row r="7" spans="1:2" ht="28.8" x14ac:dyDescent="0.3">
      <c r="A7" s="7" t="s">
        <v>126</v>
      </c>
      <c r="B7" s="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Utility Research</vt:lpstr>
      <vt:lpstr>MSEDCL Analysis</vt:lpstr>
      <vt:lpstr>Methodology</vt:lpstr>
      <vt:lpstr>Comparison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Arkaprova Mitra</cp:lastModifiedBy>
  <cp:lastPrinted>2026-09-03T00:18:29Z</cp:lastPrinted>
  <dcterms:created xsi:type="dcterms:W3CDTF">2026-09-02T23:25:09Z</dcterms:created>
  <dcterms:modified xsi:type="dcterms:W3CDTF">2026-09-03T01:00:11Z</dcterms:modified>
</cp:coreProperties>
</file>